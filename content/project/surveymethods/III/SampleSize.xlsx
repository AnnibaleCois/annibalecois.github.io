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A19AABE0-6FBA-4A6D-8AEF-A0A7E2C540BC}" xr6:coauthVersionLast="45" xr6:coauthVersionMax="45" xr10:uidLastSave="{00000000-0000-0000-0000-000000000000}"/>
  <bookViews>
    <workbookView minimized="1" xWindow="5580" yWindow="3900" windowWidth="15210" windowHeight="109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" i="1" l="1"/>
  <c r="H6" i="1" s="1"/>
  <c r="I5" i="1"/>
  <c r="I6" i="1" s="1"/>
  <c r="J5" i="1"/>
  <c r="J6" i="1" s="1"/>
  <c r="K5" i="1"/>
  <c r="K6" i="1" s="1"/>
  <c r="L5" i="1"/>
  <c r="L6" i="1" s="1"/>
  <c r="M5" i="1"/>
  <c r="M6" i="1" s="1"/>
  <c r="N5" i="1"/>
  <c r="N6" i="1" s="1"/>
  <c r="O5" i="1"/>
  <c r="O6" i="1" s="1"/>
  <c r="P5" i="1"/>
  <c r="P6" i="1" s="1"/>
  <c r="Q5" i="1"/>
  <c r="Q6" i="1" s="1"/>
  <c r="R5" i="1"/>
  <c r="R6" i="1" s="1"/>
  <c r="S5" i="1"/>
  <c r="S6" i="1" s="1"/>
  <c r="T5" i="1"/>
  <c r="T6" i="1" s="1"/>
  <c r="U5" i="1"/>
  <c r="U6" i="1" s="1"/>
  <c r="G5" i="1"/>
  <c r="G6" i="1" s="1"/>
  <c r="B23" i="1"/>
  <c r="B25" i="1" s="1"/>
  <c r="D25" i="1" s="1"/>
  <c r="B12" i="1"/>
  <c r="B14" i="1" s="1"/>
  <c r="D14" i="1" s="1"/>
  <c r="D23" i="1" l="1"/>
  <c r="D12" i="1"/>
</calcChain>
</file>

<file path=xl/sharedStrings.xml><?xml version="1.0" encoding="utf-8"?>
<sst xmlns="http://schemas.openxmlformats.org/spreadsheetml/2006/main" count="30" uniqueCount="16">
  <si>
    <t>PREVALENCE STUDY - BINOMIAL APPROXIMATION</t>
  </si>
  <si>
    <r>
      <t xml:space="preserve">REQUIRED </t>
    </r>
    <r>
      <rPr>
        <b/>
        <sz val="11"/>
        <color rgb="FFFF0000"/>
        <rFont val="Calibri"/>
        <family val="2"/>
        <scheme val="minor"/>
      </rPr>
      <t>ABSOLUTE PRECISION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%): d =</t>
    </r>
  </si>
  <si>
    <r>
      <t xml:space="preserve">ESTIMATED </t>
    </r>
    <r>
      <rPr>
        <b/>
        <sz val="11"/>
        <color rgb="FFFF0000"/>
        <rFont val="Calibri"/>
        <family val="2"/>
        <scheme val="minor"/>
      </rPr>
      <t>PREVALENCE IN POPULATION</t>
    </r>
    <r>
      <rPr>
        <sz val="11"/>
        <color theme="1"/>
        <rFont val="Calibri"/>
        <family val="2"/>
        <scheme val="minor"/>
      </rPr>
      <t xml:space="preserve"> (%): p =</t>
    </r>
  </si>
  <si>
    <r>
      <t xml:space="preserve">ESTIMATED </t>
    </r>
    <r>
      <rPr>
        <b/>
        <sz val="11"/>
        <color rgb="FFFF0000"/>
        <rFont val="Calibri"/>
        <family val="2"/>
        <scheme val="minor"/>
      </rPr>
      <t>NON-RESPONSE RATE</t>
    </r>
    <r>
      <rPr>
        <sz val="11"/>
        <color theme="1"/>
        <rFont val="Calibri"/>
        <family val="2"/>
        <scheme val="minor"/>
      </rPr>
      <t xml:space="preserve"> (%): nr =</t>
    </r>
  </si>
  <si>
    <r>
      <rPr>
        <b/>
        <sz val="11"/>
        <color rgb="FFFF0000"/>
        <rFont val="Calibri"/>
        <family val="2"/>
        <scheme val="minor"/>
      </rPr>
      <t>DESIGN EFFECT</t>
    </r>
    <r>
      <rPr>
        <sz val="11"/>
        <color theme="1"/>
        <rFont val="Calibri"/>
        <family val="2"/>
        <scheme val="minor"/>
      </rPr>
      <t>: df =</t>
    </r>
  </si>
  <si>
    <r>
      <t xml:space="preserve">SAMPLE SIZE </t>
    </r>
    <r>
      <rPr>
        <b/>
        <sz val="11"/>
        <color rgb="FF00B050"/>
        <rFont val="Calibri"/>
        <family val="2"/>
        <scheme val="minor"/>
      </rPr>
      <t>NEEDED</t>
    </r>
    <r>
      <rPr>
        <sz val="11"/>
        <color rgb="FF00B050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n2 =</t>
    </r>
  </si>
  <si>
    <r>
      <rPr>
        <b/>
        <sz val="11"/>
        <color rgb="FF00B050"/>
        <rFont val="Calibri"/>
        <family val="2"/>
        <scheme val="minor"/>
      </rPr>
      <t>EFFECTIVE SAMPLE SIZE</t>
    </r>
    <r>
      <rPr>
        <sz val="11"/>
        <color theme="1"/>
        <rFont val="Calibri"/>
        <family val="2"/>
        <scheme val="minor"/>
      </rPr>
      <t>: n1 =</t>
    </r>
  </si>
  <si>
    <t>%</t>
  </si>
  <si>
    <t>(</t>
  </si>
  <si>
    <t>)</t>
  </si>
  <si>
    <t>SAMPLE SIZE BASIC CALCULATOR</t>
  </si>
  <si>
    <t>A) SAMPLE SIZE CALCULATION</t>
  </si>
  <si>
    <t>B) CALCULATION OF PRECISION</t>
  </si>
  <si>
    <r>
      <t xml:space="preserve">AVAILABLE </t>
    </r>
    <r>
      <rPr>
        <b/>
        <sz val="11"/>
        <color rgb="FFFF0000"/>
        <rFont val="Calibri"/>
        <family val="2"/>
        <scheme val="minor"/>
      </rPr>
      <t>SAMPLE SIZE</t>
    </r>
    <r>
      <rPr>
        <sz val="11"/>
        <color theme="1"/>
        <rFont val="Calibri"/>
        <family val="2"/>
        <scheme val="minor"/>
      </rPr>
      <t>: n2 =</t>
    </r>
  </si>
  <si>
    <r>
      <rPr>
        <b/>
        <sz val="11"/>
        <color rgb="FF00B050"/>
        <rFont val="Calibri"/>
        <family val="2"/>
        <scheme val="minor"/>
      </rPr>
      <t>ABSOLUTE PRECISION</t>
    </r>
    <r>
      <rPr>
        <sz val="11"/>
        <color theme="1"/>
        <rFont val="Calibri"/>
        <family val="2"/>
        <scheme val="minor"/>
      </rPr>
      <t xml:space="preserve"> (±%): d =</t>
    </r>
  </si>
  <si>
    <t>Sample Size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</si>
</sst>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0" fillId="5" borderId="0" xfId="0" applyFill="1"/>
    <xf numFmtId="0" fontId="6" fillId="0" borderId="0" xfId="0" applyFont="1"/>
    <xf numFmtId="1" fontId="1" fillId="2" borderId="0" xfId="1" applyNumberFormat="1"/>
    <xf numFmtId="1" fontId="0" fillId="0" borderId="0" xfId="0" applyNumberFormat="1"/>
    <xf numFmtId="2" fontId="0" fillId="0" borderId="0" xfId="0" applyNumberFormat="1"/>
    <xf numFmtId="0" fontId="9" fillId="0" borderId="0" xfId="0" applyFont="1" applyAlignment="1">
      <alignment horizontal="right"/>
    </xf>
    <xf numFmtId="0" fontId="4" fillId="0" borderId="0" xfId="0" applyFont="1"/>
    <xf numFmtId="0" fontId="2" fillId="3" borderId="0" xfId="2" applyProtection="1">
      <protection locked="0"/>
    </xf>
    <xf numFmtId="164" fontId="1" fillId="2" borderId="0" xfId="1" applyNumberFormat="1"/>
    <xf numFmtId="1" fontId="3" fillId="4" borderId="1" xfId="3" applyNumberFormat="1"/>
    <xf numFmtId="11" fontId="2" fillId="3" borderId="0" xfId="2" applyNumberFormat="1" applyProtection="1">
      <protection locked="0"/>
    </xf>
  </cellXfs>
  <cellStyles count="4">
    <cellStyle name="Bad" xfId="2" builtinId="27"/>
    <cellStyle name="Calculation" xfId="3" builtinId="22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8.88110986126735E-2"/>
          <c:y val="0.11515478668614702"/>
          <c:w val="0.89214128233970802"/>
          <c:h val="0.67201319662628411"/>
        </c:manualLayout>
      </c:layout>
      <c:lineChart>
        <c:grouping val="standard"/>
        <c:varyColors val="0"/>
        <c:ser>
          <c:idx val="0"/>
          <c:order val="0"/>
          <c:tx>
            <c:strRef>
              <c:f>Sheet1!$F$6</c:f>
              <c:strCache>
                <c:ptCount val="1"/>
                <c:pt idx="0">
                  <c:v>Sample Size Needed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Sheet1!$G$6:$U$6</c:f>
              <c:numCache>
                <c:formatCode>0</c:formatCode>
                <c:ptCount val="15"/>
                <c:pt idx="0">
                  <c:v>9603.9999999999982</c:v>
                </c:pt>
                <c:pt idx="1">
                  <c:v>2400.9999999999995</c:v>
                </c:pt>
                <c:pt idx="2">
                  <c:v>1067.1111111111111</c:v>
                </c:pt>
                <c:pt idx="3">
                  <c:v>600.24999999999989</c:v>
                </c:pt>
                <c:pt idx="4">
                  <c:v>384.15999999999991</c:v>
                </c:pt>
                <c:pt idx="5">
                  <c:v>266.77777777777777</c:v>
                </c:pt>
                <c:pt idx="6">
                  <c:v>195.99999999999994</c:v>
                </c:pt>
                <c:pt idx="7">
                  <c:v>150.06249999999997</c:v>
                </c:pt>
                <c:pt idx="8">
                  <c:v>118.5679012345679</c:v>
                </c:pt>
                <c:pt idx="9">
                  <c:v>96.039999999999978</c:v>
                </c:pt>
                <c:pt idx="10">
                  <c:v>79.371900826446279</c:v>
                </c:pt>
                <c:pt idx="11">
                  <c:v>66.694444444444443</c:v>
                </c:pt>
                <c:pt idx="12">
                  <c:v>56.828402366863898</c:v>
                </c:pt>
                <c:pt idx="13">
                  <c:v>48.999999999999986</c:v>
                </c:pt>
                <c:pt idx="14">
                  <c:v>42.684444444444445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B-40C9-95BB-E12476589D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89324632"/>
        <c:axId val="289322672"/>
      </c:lineChart>
      <c:catAx>
        <c:axId val="289324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Absolute</a:t>
                </a:r>
                <a:r>
                  <a:rPr lang="en-ZA" baseline="0"/>
                  <a:t> Precision (</a:t>
                </a:r>
                <a:r>
                  <a:rPr lang="en-ZA" baseline="0">
                    <a:latin typeface="Calibri"/>
                  </a:rPr>
                  <a:t>±</a:t>
                </a:r>
                <a:r>
                  <a:rPr lang="en-ZA" baseline="0"/>
                  <a:t>%)</a:t>
                </a:r>
                <a:endParaRPr lang="en-Z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9322672"/>
        <c:crosses val="autoZero"/>
        <c:auto val="1"/>
        <c:lblAlgn val="ctr"/>
        <c:lblOffset val="100"/>
        <c:noMultiLvlLbl val="0"/>
      </c:catAx>
      <c:valAx>
        <c:axId val="289322672"/>
        <c:scaling>
          <c:orientation val="minMax"/>
        </c:scaling>
        <c:delete val="0"/>
        <c:axPos val="l"/>
        <c:majorGridlines/>
        <c:numFmt formatCode="0" sourceLinked="1"/>
        <c:majorTickMark val="none"/>
        <c:minorTickMark val="none"/>
        <c:tickLblPos val="nextTo"/>
        <c:spPr>
          <a:ln w="9525">
            <a:noFill/>
          </a:ln>
        </c:spPr>
        <c:crossAx val="28932463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99060</xdr:colOff>
      <xdr:row>3</xdr:row>
      <xdr:rowOff>121920</xdr:rowOff>
    </xdr:from>
    <xdr:to>
      <xdr:col>33</xdr:col>
      <xdr:colOff>60960</xdr:colOff>
      <xdr:row>29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160020</xdr:colOff>
      <xdr:row>6</xdr:row>
      <xdr:rowOff>152400</xdr:rowOff>
    </xdr:from>
    <xdr:to>
      <xdr:col>32</xdr:col>
      <xdr:colOff>91440</xdr:colOff>
      <xdr:row>8</xdr:row>
      <xdr:rowOff>7620</xdr:rowOff>
    </xdr:to>
    <xdr:sp macro="" textlink="$B$8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391900" y="1249680"/>
          <a:ext cx="541020" cy="220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fld id="{8C60F01F-2C97-4730-B297-95A065081B0C}" type="TxLink">
            <a:rPr lang="en-ZA" sz="1100" b="1">
              <a:solidFill>
                <a:srgbClr val="FF0000"/>
              </a:solidFill>
            </a:rPr>
            <a:pPr/>
            <a:t>5.00E+01</a:t>
          </a:fld>
          <a:endParaRPr lang="en-ZA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160020</xdr:colOff>
      <xdr:row>8</xdr:row>
      <xdr:rowOff>91440</xdr:rowOff>
    </xdr:from>
    <xdr:to>
      <xdr:col>32</xdr:col>
      <xdr:colOff>91440</xdr:colOff>
      <xdr:row>9</xdr:row>
      <xdr:rowOff>129540</xdr:rowOff>
    </xdr:to>
    <xdr:sp macro="" textlink="$B$10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1391900" y="1554480"/>
          <a:ext cx="541020" cy="220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fld id="{7A80E3A0-7091-4E1E-857A-456C5F1D1841}" type="TxLink">
            <a:rPr lang="en-ZA" sz="1100" b="1">
              <a:solidFill>
                <a:srgbClr val="FF0000"/>
              </a:solidFill>
            </a:rPr>
            <a:pPr/>
            <a:t>1</a:t>
          </a:fld>
          <a:endParaRPr lang="en-ZA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160020</xdr:colOff>
      <xdr:row>10</xdr:row>
      <xdr:rowOff>53340</xdr:rowOff>
    </xdr:from>
    <xdr:to>
      <xdr:col>32</xdr:col>
      <xdr:colOff>91440</xdr:colOff>
      <xdr:row>11</xdr:row>
      <xdr:rowOff>91440</xdr:rowOff>
    </xdr:to>
    <xdr:sp macro="" textlink="$B$9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1391900" y="1882140"/>
          <a:ext cx="541020" cy="220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fld id="{185CD706-A9CE-4964-8ED8-35F1EEF9E39B}" type="TxLink">
            <a:rPr lang="en-ZA" sz="1100" b="1">
              <a:solidFill>
                <a:srgbClr val="FF0000"/>
              </a:solidFill>
            </a:rPr>
            <a:pPr/>
            <a:t>0</a:t>
          </a:fld>
          <a:endParaRPr lang="en-ZA" sz="11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0.59429</cdr:x>
      <cdr:y>0.12479</cdr:y>
    </cdr:from>
    <cdr:to>
      <cdr:x>0.84457</cdr:x>
      <cdr:y>0.30706</cdr:y>
    </cdr:to>
    <cdr:grpSp>
      <cdr:nvGrpSpPr>
        <cdr:cNvPr id="7" name="Group 6">
          <a:extLst xmlns:a="http://schemas.openxmlformats.org/drawingml/2006/main">
            <a:ext uri="{FF2B5EF4-FFF2-40B4-BE49-F238E27FC236}">
              <a16:creationId xmlns:a16="http://schemas.microsoft.com/office/drawing/2014/main" id="{B5698A97-574B-4BE2-A1A2-E0C2DA758164}"/>
            </a:ext>
          </a:extLst>
        </cdr:cNvPr>
        <cdr:cNvGrpSpPr/>
      </cdr:nvGrpSpPr>
      <cdr:grpSpPr>
        <a:xfrm xmlns:a="http://schemas.openxmlformats.org/drawingml/2006/main">
          <a:off x="3962429" y="603821"/>
          <a:ext cx="1668741" cy="881950"/>
          <a:chOff x="4998720" y="548640"/>
          <a:chExt cx="1668780" cy="845820"/>
        </a:xfrm>
      </cdr:grpSpPr>
      <cdr:sp macro="" textlink="">
        <cdr:nvSpPr>
          <cdr:cNvPr id="4" name="TextBox 3"/>
          <cdr:cNvSpPr txBox="1"/>
        </cdr:nvSpPr>
        <cdr:spPr>
          <a:xfrm xmlns:a="http://schemas.openxmlformats.org/drawingml/2006/main">
            <a:off x="4998720" y="548640"/>
            <a:ext cx="1668780" cy="22860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none" rtlCol="0"/>
          <a:lstStyle xmlns:a="http://schemas.openxmlformats.org/drawingml/2006/main"/>
          <a:p xmlns:a="http://schemas.openxmlformats.org/drawingml/2006/main">
            <a:pPr algn="r"/>
            <a:r>
              <a:rPr lang="en-ZA" sz="1100"/>
              <a:t>ESTIMATED PREVALENCE (%): </a:t>
            </a:r>
          </a:p>
        </cdr:txBody>
      </cdr:sp>
      <cdr:sp macro="" textlink="">
        <cdr:nvSpPr>
          <cdr:cNvPr id="5" name="TextBox 4"/>
          <cdr:cNvSpPr txBox="1"/>
        </cdr:nvSpPr>
        <cdr:spPr>
          <a:xfrm xmlns:a="http://schemas.openxmlformats.org/drawingml/2006/main">
            <a:off x="4998720" y="1165860"/>
            <a:ext cx="1668780" cy="22860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none" rtlCol="0"/>
          <a:lstStyle xmlns:a="http://schemas.openxmlformats.org/drawingml/2006/main"/>
          <a:p xmlns:a="http://schemas.openxmlformats.org/drawingml/2006/main">
            <a:pPr algn="r"/>
            <a:r>
              <a:rPr lang="en-ZA" sz="1100"/>
              <a:t>NON-RESPONSE RATE (%):</a:t>
            </a:r>
          </a:p>
        </cdr:txBody>
      </cdr:sp>
      <cdr:sp macro="" textlink="">
        <cdr:nvSpPr>
          <cdr:cNvPr id="6" name="TextBox 5"/>
          <cdr:cNvSpPr txBox="1"/>
        </cdr:nvSpPr>
        <cdr:spPr>
          <a:xfrm xmlns:a="http://schemas.openxmlformats.org/drawingml/2006/main">
            <a:off x="4998720" y="853440"/>
            <a:ext cx="1668780" cy="22860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none" rtlCol="0"/>
          <a:lstStyle xmlns:a="http://schemas.openxmlformats.org/drawingml/2006/main"/>
          <a:p xmlns:a="http://schemas.openxmlformats.org/drawingml/2006/main">
            <a:pPr algn="r"/>
            <a:r>
              <a:rPr lang="en-ZA" sz="1100"/>
              <a:t>DESIGN EFFECT: </a:t>
            </a:r>
          </a:p>
        </cdr:txBody>
      </cdr:sp>
    </cdr:grp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workbookViewId="0">
      <selection activeCell="B12" sqref="B12"/>
    </sheetView>
  </sheetViews>
  <sheetFormatPr defaultRowHeight="15" x14ac:dyDescent="0.25"/>
  <cols>
    <col min="1" max="1" width="43.7109375" customWidth="1"/>
    <col min="3" max="3" width="4.28515625" customWidth="1"/>
    <col min="4" max="4" width="7.85546875" customWidth="1"/>
    <col min="5" max="5" width="4.85546875" customWidth="1"/>
    <col min="6" max="21" width="0.28515625" style="11" customWidth="1"/>
  </cols>
  <sheetData>
    <row r="1" spans="1:21" x14ac:dyDescent="0.25">
      <c r="A1" t="s">
        <v>10</v>
      </c>
    </row>
    <row r="3" spans="1:21" s="2" customFormat="1" x14ac:dyDescent="0.25">
      <c r="A3" s="2" t="s">
        <v>0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x14ac:dyDescent="0.25">
      <c r="G4" s="11">
        <v>1</v>
      </c>
      <c r="H4" s="11">
        <v>2</v>
      </c>
      <c r="I4" s="11">
        <v>3</v>
      </c>
      <c r="J4" s="11">
        <v>4</v>
      </c>
      <c r="K4" s="11">
        <v>5</v>
      </c>
      <c r="L4" s="11">
        <v>6</v>
      </c>
      <c r="M4" s="11">
        <v>7</v>
      </c>
      <c r="N4" s="11">
        <v>8</v>
      </c>
      <c r="O4" s="11">
        <v>9</v>
      </c>
      <c r="P4" s="11">
        <v>10</v>
      </c>
      <c r="Q4" s="11">
        <v>11</v>
      </c>
      <c r="R4" s="11">
        <v>12</v>
      </c>
      <c r="S4" s="11">
        <v>13</v>
      </c>
      <c r="T4" s="11">
        <v>14</v>
      </c>
      <c r="U4" s="11">
        <v>15</v>
      </c>
    </row>
    <row r="5" spans="1:21" x14ac:dyDescent="0.25">
      <c r="A5" s="8" t="s">
        <v>11</v>
      </c>
      <c r="G5" s="11">
        <f>(((1-$B$8/100)*$B$8/100)*1.96^2)/(G4/100)^2</f>
        <v>9603.9999999999982</v>
      </c>
      <c r="H5" s="11">
        <f t="shared" ref="H5:U5" si="0">(((1-$B$8/100)*$B$8/100)*1.96^2)/(H4/100)^2</f>
        <v>2400.9999999999995</v>
      </c>
      <c r="I5" s="11">
        <f t="shared" si="0"/>
        <v>1067.1111111111111</v>
      </c>
      <c r="J5" s="11">
        <f t="shared" si="0"/>
        <v>600.24999999999989</v>
      </c>
      <c r="K5" s="11">
        <f t="shared" si="0"/>
        <v>384.15999999999991</v>
      </c>
      <c r="L5" s="11">
        <f t="shared" si="0"/>
        <v>266.77777777777777</v>
      </c>
      <c r="M5" s="11">
        <f t="shared" si="0"/>
        <v>195.99999999999994</v>
      </c>
      <c r="N5" s="11">
        <f t="shared" si="0"/>
        <v>150.06249999999997</v>
      </c>
      <c r="O5" s="11">
        <f t="shared" si="0"/>
        <v>118.5679012345679</v>
      </c>
      <c r="P5" s="11">
        <f t="shared" si="0"/>
        <v>96.039999999999978</v>
      </c>
      <c r="Q5" s="11">
        <f t="shared" si="0"/>
        <v>79.371900826446279</v>
      </c>
      <c r="R5" s="11">
        <f t="shared" si="0"/>
        <v>66.694444444444443</v>
      </c>
      <c r="S5" s="11">
        <f t="shared" si="0"/>
        <v>56.828402366863898</v>
      </c>
      <c r="T5" s="11">
        <f t="shared" si="0"/>
        <v>48.999999999999986</v>
      </c>
      <c r="U5" s="11">
        <f t="shared" si="0"/>
        <v>42.684444444444445</v>
      </c>
    </row>
    <row r="6" spans="1:21" x14ac:dyDescent="0.25">
      <c r="F6" s="11" t="s">
        <v>15</v>
      </c>
      <c r="G6" s="11">
        <f>G5*$B$10/(1-$B$9/100)</f>
        <v>9603.9999999999982</v>
      </c>
      <c r="H6" s="11">
        <f t="shared" ref="H6:U6" si="1">H5*$B$10/(1-$B$9/100)</f>
        <v>2400.9999999999995</v>
      </c>
      <c r="I6" s="11">
        <f t="shared" si="1"/>
        <v>1067.1111111111111</v>
      </c>
      <c r="J6" s="11">
        <f t="shared" si="1"/>
        <v>600.24999999999989</v>
      </c>
      <c r="K6" s="11">
        <f t="shared" si="1"/>
        <v>384.15999999999991</v>
      </c>
      <c r="L6" s="11">
        <f t="shared" si="1"/>
        <v>266.77777777777777</v>
      </c>
      <c r="M6" s="11">
        <f t="shared" si="1"/>
        <v>195.99999999999994</v>
      </c>
      <c r="N6" s="11">
        <f t="shared" si="1"/>
        <v>150.06249999999997</v>
      </c>
      <c r="O6" s="11">
        <f t="shared" si="1"/>
        <v>118.5679012345679</v>
      </c>
      <c r="P6" s="11">
        <f t="shared" si="1"/>
        <v>96.039999999999978</v>
      </c>
      <c r="Q6" s="11">
        <f t="shared" si="1"/>
        <v>79.371900826446279</v>
      </c>
      <c r="R6" s="11">
        <f t="shared" si="1"/>
        <v>66.694444444444443</v>
      </c>
      <c r="S6" s="11">
        <f t="shared" si="1"/>
        <v>56.828402366863898</v>
      </c>
      <c r="T6" s="11">
        <f t="shared" si="1"/>
        <v>48.999999999999986</v>
      </c>
      <c r="U6" s="11">
        <f t="shared" si="1"/>
        <v>42.684444444444445</v>
      </c>
    </row>
    <row r="7" spans="1:21" x14ac:dyDescent="0.25">
      <c r="A7" s="1" t="s">
        <v>1</v>
      </c>
      <c r="B7" s="12">
        <v>5</v>
      </c>
      <c r="C7" s="3" t="s">
        <v>7</v>
      </c>
    </row>
    <row r="8" spans="1:21" x14ac:dyDescent="0.25">
      <c r="A8" s="1" t="s">
        <v>2</v>
      </c>
      <c r="B8" s="12">
        <v>50</v>
      </c>
      <c r="C8" s="3" t="s">
        <v>7</v>
      </c>
    </row>
    <row r="9" spans="1:21" x14ac:dyDescent="0.25">
      <c r="A9" s="1" t="s">
        <v>3</v>
      </c>
      <c r="B9" s="9">
        <v>0</v>
      </c>
      <c r="C9" s="3" t="s">
        <v>7</v>
      </c>
    </row>
    <row r="10" spans="1:21" x14ac:dyDescent="0.25">
      <c r="A10" s="1" t="s">
        <v>4</v>
      </c>
      <c r="B10" s="9">
        <v>1</v>
      </c>
    </row>
    <row r="11" spans="1:21" x14ac:dyDescent="0.25">
      <c r="A11" s="1"/>
    </row>
    <row r="12" spans="1:21" x14ac:dyDescent="0.25">
      <c r="A12" s="1" t="s">
        <v>6</v>
      </c>
      <c r="B12" s="4">
        <f>(((1-B8/100)*B8/100)*1.96^2)/(B7/100)^2</f>
        <v>384.15999999999991</v>
      </c>
      <c r="C12" s="7" t="s">
        <v>8</v>
      </c>
      <c r="D12" s="6">
        <f>B12</f>
        <v>384.15999999999991</v>
      </c>
      <c r="E12" s="8" t="s">
        <v>9</v>
      </c>
    </row>
    <row r="13" spans="1:21" x14ac:dyDescent="0.25">
      <c r="B13" s="5"/>
      <c r="C13" s="7"/>
      <c r="D13" s="6"/>
      <c r="E13" s="8"/>
    </row>
    <row r="14" spans="1:21" x14ac:dyDescent="0.25">
      <c r="A14" s="1" t="s">
        <v>5</v>
      </c>
      <c r="B14" s="4">
        <f>(B12/(1-B9/100))*B10</f>
        <v>384.15999999999991</v>
      </c>
      <c r="C14" s="7" t="s">
        <v>8</v>
      </c>
      <c r="D14" s="6">
        <f>B14</f>
        <v>384.15999999999991</v>
      </c>
      <c r="E14" s="8" t="s">
        <v>9</v>
      </c>
    </row>
    <row r="15" spans="1:21" x14ac:dyDescent="0.25">
      <c r="A15" s="1"/>
    </row>
    <row r="16" spans="1:21" x14ac:dyDescent="0.25">
      <c r="A16" s="8" t="s">
        <v>12</v>
      </c>
    </row>
    <row r="18" spans="1:5" x14ac:dyDescent="0.25">
      <c r="A18" s="1" t="s">
        <v>13</v>
      </c>
      <c r="B18" s="9">
        <v>2743</v>
      </c>
      <c r="C18" s="3"/>
    </row>
    <row r="19" spans="1:5" x14ac:dyDescent="0.25">
      <c r="A19" s="1" t="s">
        <v>2</v>
      </c>
      <c r="B19" s="9">
        <v>30</v>
      </c>
      <c r="C19" s="3" t="s">
        <v>7</v>
      </c>
    </row>
    <row r="20" spans="1:5" x14ac:dyDescent="0.25">
      <c r="A20" s="1" t="s">
        <v>3</v>
      </c>
      <c r="B20" s="9">
        <v>20</v>
      </c>
      <c r="C20" s="3" t="s">
        <v>7</v>
      </c>
    </row>
    <row r="21" spans="1:5" x14ac:dyDescent="0.25">
      <c r="A21" s="1" t="s">
        <v>4</v>
      </c>
      <c r="B21" s="9">
        <v>1.7</v>
      </c>
    </row>
    <row r="22" spans="1:5" x14ac:dyDescent="0.25">
      <c r="A22" s="1"/>
    </row>
    <row r="23" spans="1:5" x14ac:dyDescent="0.25">
      <c r="A23" s="1" t="s">
        <v>6</v>
      </c>
      <c r="B23" s="4">
        <f>B18*(1-B20/100)/B21</f>
        <v>1290.8235294117649</v>
      </c>
      <c r="C23" s="7" t="s">
        <v>8</v>
      </c>
      <c r="D23" s="6">
        <f>B23</f>
        <v>1290.8235294117649</v>
      </c>
      <c r="E23" s="8" t="s">
        <v>9</v>
      </c>
    </row>
    <row r="24" spans="1:5" x14ac:dyDescent="0.25">
      <c r="B24" s="5"/>
      <c r="C24" s="7"/>
      <c r="D24" s="6"/>
      <c r="E24" s="8"/>
    </row>
    <row r="25" spans="1:5" x14ac:dyDescent="0.25">
      <c r="A25" s="1" t="s">
        <v>14</v>
      </c>
      <c r="B25" s="10">
        <f xml:space="preserve"> SQRT( (B19/100*(1-B19/100)*1.96^2)/B23)*100</f>
        <v>2.4999555227541905</v>
      </c>
      <c r="C25" s="7" t="s">
        <v>8</v>
      </c>
      <c r="D25" s="6">
        <f>B25</f>
        <v>2.4999555227541905</v>
      </c>
      <c r="E25" s="8" t="s">
        <v>9</v>
      </c>
    </row>
  </sheetData>
  <sheetProtection sheet="1" objects="1" scenarios="1"/>
  <pageMargins left="0.7" right="0.7" top="0.75" bottom="0.75" header="0.3" footer="0.3"/>
  <pageSetup paperSize="9" orientation="portrait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2021-06-02T11:42:15Z</dcterms:modified>
</cp:coreProperties>
</file>